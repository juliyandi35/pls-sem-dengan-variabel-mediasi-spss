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2171224 (PLS-SEM dengan Variabel Moderasi)\"/>
    </mc:Choice>
  </mc:AlternateContent>
  <xr:revisionPtr revIDLastSave="0" documentId="13_ncr:1_{09897CEA-105D-422E-9ED8-DC851280456B}" xr6:coauthVersionLast="47" xr6:coauthVersionMax="47" xr10:uidLastSave="{00000000-0000-0000-0000-000000000000}"/>
  <bookViews>
    <workbookView xWindow="9510" yWindow="0" windowWidth="9780" windowHeight="10170" xr2:uid="{06A6D30D-25ED-4D49-95E1-13119519EBFE}"/>
  </bookViews>
  <sheets>
    <sheet name="With Control 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F4" i="1"/>
  <c r="F3" i="1"/>
  <c r="F2" i="1"/>
  <c r="D7" i="1" l="1"/>
</calcChain>
</file>

<file path=xl/sharedStrings.xml><?xml version="1.0" encoding="utf-8"?>
<sst xmlns="http://schemas.openxmlformats.org/spreadsheetml/2006/main" count="13" uniqueCount="13">
  <si>
    <t/>
  </si>
  <si>
    <t>Original Sample (O)</t>
  </si>
  <si>
    <t>T Statistics (|O/STDEV|)</t>
  </si>
  <si>
    <t>P Values</t>
  </si>
  <si>
    <t>Significance</t>
  </si>
  <si>
    <t>t hitung</t>
  </si>
  <si>
    <t>Kesimpulan</t>
  </si>
  <si>
    <t>t tabel</t>
  </si>
  <si>
    <t>X -&gt; M</t>
  </si>
  <si>
    <t>X -&gt; Y</t>
  </si>
  <si>
    <t>M -&gt; Y</t>
  </si>
  <si>
    <t>Standard Error</t>
  </si>
  <si>
    <t>X -&gt; M -&gt;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</si>
</sst>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AC56-CC49-45A3-80DE-807387A4F7D8}">
  <dimension ref="A1:F8"/>
  <sheetViews>
    <sheetView tabSelected="1" workbookViewId="0">
      <selection activeCell="C4" sqref="C4"/>
    </sheetView>
  </sheetViews>
  <sheetFormatPr defaultRowHeight="14.5" x14ac:dyDescent="0.35"/>
  <cols>
    <col min="1" max="1" width="10.45312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7" width="13.54296875" bestFit="1" customWidth="1"/>
    <col min="8" max="8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9</v>
      </c>
      <c r="B2" s="2">
        <v>0.189</v>
      </c>
      <c r="C2" s="2">
        <v>7.2999999999999995E-2</v>
      </c>
      <c r="D2" s="2">
        <v>2.61</v>
      </c>
      <c r="E2" s="5">
        <v>0.01</v>
      </c>
      <c r="F2" s="5" t="str">
        <f>IF(E2&lt;0.01,"***",IF(E2&lt;0.05,"**",IF(E2&lt;0.1,"*","Not Significant")))</f>
        <v>**</v>
      </c>
    </row>
    <row r="3" spans="1:6" x14ac:dyDescent="0.35">
      <c r="A3" s="1" t="s">
        <v>8</v>
      </c>
      <c r="B3" s="2">
        <v>0.89200000000000002</v>
      </c>
      <c r="C3" s="2">
        <v>3.1E-2</v>
      </c>
      <c r="D3" s="2">
        <v>29.245999999999999</v>
      </c>
      <c r="E3" s="5">
        <v>0</v>
      </c>
      <c r="F3" s="5" t="str">
        <f t="shared" ref="F3:F4" si="0">IF(E3&lt;0.01,"***",IF(E3&lt;0.05,"**",IF(E3&lt;0.1,"*","Not Significant")))</f>
        <v>***</v>
      </c>
    </row>
    <row r="4" spans="1:6" x14ac:dyDescent="0.35">
      <c r="A4" s="1" t="s">
        <v>10</v>
      </c>
      <c r="B4" s="2">
        <v>0.68799999999999994</v>
      </c>
      <c r="C4" s="2">
        <v>7.1999999999999995E-2</v>
      </c>
      <c r="D4" s="2">
        <v>9.5649999999999995</v>
      </c>
      <c r="E4" s="5">
        <v>0</v>
      </c>
      <c r="F4" s="5" t="str">
        <f t="shared" si="0"/>
        <v>***</v>
      </c>
    </row>
    <row r="5" spans="1:6" x14ac:dyDescent="0.35">
      <c r="A5" s="3"/>
      <c r="B5" s="3"/>
      <c r="C5" s="3"/>
      <c r="D5" s="3"/>
      <c r="E5" s="3"/>
      <c r="F5" s="3"/>
    </row>
    <row r="6" spans="1:6" x14ac:dyDescent="0.35">
      <c r="A6" s="6" t="s">
        <v>12</v>
      </c>
      <c r="B6" s="3"/>
      <c r="C6" s="3"/>
      <c r="D6" s="3"/>
      <c r="E6" s="3"/>
      <c r="F6" s="3"/>
    </row>
    <row r="7" spans="1:6" x14ac:dyDescent="0.35">
      <c r="A7" s="4" t="s">
        <v>5</v>
      </c>
      <c r="B7" s="3">
        <f>(B3*B4)/(SQRT(((B3^2)*(C4^2))+((B4^2)*(C3^2))))</f>
        <v>9.0685791144429206</v>
      </c>
      <c r="C7" s="3" t="s">
        <v>6</v>
      </c>
      <c r="D7" s="3" t="str">
        <f>IF(ABS(B7)&lt;B8,"Gagal Intervernsi","Sukses Intervensi")</f>
        <v>Sukses Intervensi</v>
      </c>
      <c r="E7" s="3"/>
      <c r="F7" s="3"/>
    </row>
    <row r="8" spans="1:6" x14ac:dyDescent="0.35">
      <c r="A8" s="3" t="s">
        <v>7</v>
      </c>
      <c r="B8" s="3">
        <f>TINV(0.05,(240-3))</f>
        <v>1.970024010403552</v>
      </c>
      <c r="C8" s="3"/>
      <c r="D8" s="3"/>
      <c r="E8" s="3"/>
      <c r="F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Control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2025-03-02T16:02:28Z</dcterms:modified>
</cp:coreProperties>
</file>